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ina\Desktop\Projeto-Olivers\Dataset\"/>
    </mc:Choice>
  </mc:AlternateContent>
  <xr:revisionPtr revIDLastSave="0" documentId="13_ncr:1_{D9D22C61-3382-4551-BD85-0D8E9C9EAD6F}" xr6:coauthVersionLast="47" xr6:coauthVersionMax="47" xr10:uidLastSave="{00000000-0000-0000-0000-000000000000}"/>
  <bookViews>
    <workbookView xWindow="-108" yWindow="-108" windowWidth="23256" windowHeight="12576" xr2:uid="{F13F2F21-5D06-43D2-A86A-FC31DF46B8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K18" i="1"/>
  <c r="K15" i="1"/>
  <c r="J15" i="1"/>
  <c r="K12" i="1"/>
  <c r="J12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<sst xmlns="http://schemas.openxmlformats.org/spreadsheetml/2006/main" count="247" uniqueCount="127">
  <si>
    <t>CÓDIGO</t>
  </si>
  <si>
    <t>DESCRIÇÃO DOS PRODUTOS / SERVIÇOS</t>
  </si>
  <si>
    <t>CATEGORIA</t>
  </si>
  <si>
    <t>UNID.</t>
  </si>
  <si>
    <t>QUANT.</t>
  </si>
  <si>
    <t>VLR. UNIT.</t>
  </si>
  <si>
    <t>VLR. TOTAL</t>
  </si>
  <si>
    <t>(1F5)2016802</t>
  </si>
  <si>
    <t>Anel Regulavel Folheado - Prata 1000</t>
  </si>
  <si>
    <t>Anel</t>
  </si>
  <si>
    <t>Un</t>
  </si>
  <si>
    <t>(1D4)2044102</t>
  </si>
  <si>
    <t>Anel Fio Regulavel Folheado - Prata 1000</t>
  </si>
  <si>
    <t>(1A2)2043302</t>
  </si>
  <si>
    <t>Anel Regulavel Trancado Folheado - Prata 1000</t>
  </si>
  <si>
    <t>(1F6)2029702</t>
  </si>
  <si>
    <t>Anel Regulavel Corrente Folheado - Prata 1000</t>
  </si>
  <si>
    <t>(1D6)2035502</t>
  </si>
  <si>
    <t>Anel de Dedinho Regulavel Folheado - Prata 1000</t>
  </si>
  <si>
    <t>(0F5)2043601</t>
  </si>
  <si>
    <t>Anel Regulavel Folheado - Dourado</t>
  </si>
  <si>
    <t>(0B2)2033101</t>
  </si>
  <si>
    <t>Anel Regulavel Coracao Folheado - Dourado</t>
  </si>
  <si>
    <t>(0G1)2043401</t>
  </si>
  <si>
    <t>Anel Regulavel Trancado Folheado - Dourado</t>
  </si>
  <si>
    <t>(0B4)2034501</t>
  </si>
  <si>
    <t>(0E6)2044001</t>
  </si>
  <si>
    <t>Anel Regulavel Delicado Folheado - Dourado</t>
  </si>
  <si>
    <t>(0B1)2035701</t>
  </si>
  <si>
    <t>Anel de Dedinho Regulavel Coracao Folheado - Dourado</t>
  </si>
  <si>
    <t>(EE2)5345402</t>
  </si>
  <si>
    <t>Brinco Zirconia Folheado - Cristal Prata 1000</t>
  </si>
  <si>
    <t>Brinco</t>
  </si>
  <si>
    <t>(DG3)5370602</t>
  </si>
  <si>
    <t>Mini Argola Zirconia Folheada - Cristal Prata 1000</t>
  </si>
  <si>
    <t>(FB3)5376702</t>
  </si>
  <si>
    <t>Brinco Gota Zirconia Folheado - Cristal Prata 1000</t>
  </si>
  <si>
    <t>(DD1)5345401</t>
  </si>
  <si>
    <t>Brinco Zirconia Folheado - Cristal Dourado</t>
  </si>
  <si>
    <t>(EG4)5375502</t>
  </si>
  <si>
    <t>Brinco Coracao Zirconia Folheado - Cristal Prata 1000</t>
  </si>
  <si>
    <t>(CG2)5376201</t>
  </si>
  <si>
    <t>Brinco Ponto de Luz Zirconia Folheado - Cristal Dourado</t>
  </si>
  <si>
    <t>(CB2)5376401</t>
  </si>
  <si>
    <t>Brinco Trevo Zirconia Folheado - Cristal Dourado</t>
  </si>
  <si>
    <t>(EA6)5306902</t>
  </si>
  <si>
    <t>(BH4)9255002</t>
  </si>
  <si>
    <t>Pulseira Strass 3mm Folheada - Cristal Prata 1000</t>
  </si>
  <si>
    <t>Pulseira</t>
  </si>
  <si>
    <t>(1D1)2044002</t>
  </si>
  <si>
    <t>Anel Regulavel Delicado Folheado - Prata 1000</t>
  </si>
  <si>
    <t>(0E1)2043501</t>
  </si>
  <si>
    <t>Anel Regulavel Corrente Folheado - Dourado</t>
  </si>
  <si>
    <t>(EA7)5375102</t>
  </si>
  <si>
    <t>Brinco Trevo Zirconia Folheado - Cristal Prata 1000</t>
  </si>
  <si>
    <t>(DD7)5375101</t>
  </si>
  <si>
    <t>(DB7)5374801</t>
  </si>
  <si>
    <t>Brinco Infinito Zirconia Folheado - Cristal Dourado</t>
  </si>
  <si>
    <t>(EF4)5374802</t>
  </si>
  <si>
    <t>Brinco Infinito Zirconia Folheado - Cristal Prata 1000</t>
  </si>
  <si>
    <t>(ED6)5373602</t>
  </si>
  <si>
    <t>Brinco 2 Furo Ponto Luz Zirconia M Folheado - Cristal Prata 1000</t>
  </si>
  <si>
    <t>(DC1)5373601</t>
  </si>
  <si>
    <t>Brinco 2 Furo Ponto Luz Zirconia M Folheado - Cristal Dourado</t>
  </si>
  <si>
    <t>(EH7)5372702</t>
  </si>
  <si>
    <t>(EB5)5372102</t>
  </si>
  <si>
    <t>Brinco 2 Furo Zirconia Folheado - Cristal Prata 1000</t>
  </si>
  <si>
    <t>(FI1)5369402</t>
  </si>
  <si>
    <t>Mini Argola Zirconia P Folheada - Cristal Prata 1000</t>
  </si>
  <si>
    <t>(GF2)4672602</t>
  </si>
  <si>
    <t>Choker Zirconia 2,5mm Folheado - Cristal Dourado</t>
  </si>
  <si>
    <t>Colar</t>
  </si>
  <si>
    <t>(HE4)4672602</t>
  </si>
  <si>
    <t>Choker Zirconia 2,5mm Folheado - Cristal Prata 1000</t>
  </si>
  <si>
    <t>(BG5)9241202</t>
  </si>
  <si>
    <t>Pulseira Zirconia 2,5mm Folheada - Cristal Prata 1000</t>
  </si>
  <si>
    <t>(AB6)9241201</t>
  </si>
  <si>
    <t>Pulseira Zirconia 2,5mm Folheada - Cristal Dourado</t>
  </si>
  <si>
    <t>(HH1)4670602</t>
  </si>
  <si>
    <t>Colar Ponto Luz Retangulo Zirconia Folheado - Cristal Prata 1000</t>
  </si>
  <si>
    <t>(AE4)9255701</t>
  </si>
  <si>
    <t>Pulseira Detalhe 4mm Folheada - Dourado</t>
  </si>
  <si>
    <t>(BB1)9230002</t>
  </si>
  <si>
    <t>Pulseira Bolinha 2mm Folheada - Prata 1000</t>
  </si>
  <si>
    <t>(AH5)9230001</t>
  </si>
  <si>
    <t>Pulseira Bolinha 2mm Folheada - Dourado</t>
  </si>
  <si>
    <t>(BH3)9214302</t>
  </si>
  <si>
    <t>Pulseira Perola Folheada - Prata 1000</t>
  </si>
  <si>
    <t>(AC4)9214301</t>
  </si>
  <si>
    <t>Pulseira Perola Folheada - Dourado</t>
  </si>
  <si>
    <t>(BF4)9206702</t>
  </si>
  <si>
    <t>Pulseira Bolinhas Folheada - Prata 1000</t>
  </si>
  <si>
    <t>(AD2)9206701</t>
  </si>
  <si>
    <t>Pulseira Bolinhas Folheada - Dourado</t>
  </si>
  <si>
    <t>(AA2)9200101</t>
  </si>
  <si>
    <t>Pulseira Cordao Baiano 3mm Folheada - Dourado</t>
  </si>
  <si>
    <t>(GG1)4681601</t>
  </si>
  <si>
    <t>Choker Corrente 1,5mm Folheado - Dourado</t>
  </si>
  <si>
    <t>(GH4)4680701</t>
  </si>
  <si>
    <t>Colar Ponto Luz Zirconia 6mm Folheado - Cristal Dourado</t>
  </si>
  <si>
    <t>(HH7)4681402</t>
  </si>
  <si>
    <t>Colar Curto Perola Fecho Boia Folheado - Prata 1000</t>
  </si>
  <si>
    <t>(GE5)4652701</t>
  </si>
  <si>
    <t>Choker Ponto Luz Coracao Zirconia Folheado - Cristal Dourado</t>
  </si>
  <si>
    <t>(HB5)4643502</t>
  </si>
  <si>
    <t>Colar Coracao 50cm - 2mm Folheado - Prata 1000</t>
  </si>
  <si>
    <t>(GC1)4643501</t>
  </si>
  <si>
    <t>Colar Coracao 50cm - 2mm Folheado - Dourado</t>
  </si>
  <si>
    <t>(GE1)4643101</t>
  </si>
  <si>
    <t>Colar Bolinhas 50cm Folheado - Dourado</t>
  </si>
  <si>
    <t>(HE5)4643102</t>
  </si>
  <si>
    <t>Colar Bolinhas 50cm Folheado - Prata 1000</t>
  </si>
  <si>
    <t>(HH5)4644102</t>
  </si>
  <si>
    <t>Colar Coracao Folheado - Prata 1000</t>
  </si>
  <si>
    <t>(GG1)4444301</t>
  </si>
  <si>
    <t>Colar Moeda Folheado - Dourado</t>
  </si>
  <si>
    <t>VLR. VENDA</t>
  </si>
  <si>
    <t>DATA_VENDA</t>
  </si>
  <si>
    <t>Não se aplica</t>
  </si>
  <si>
    <t>LUCRO Brincos:</t>
  </si>
  <si>
    <t>Despesa brincos:</t>
  </si>
  <si>
    <t>Lucro Anel:</t>
  </si>
  <si>
    <t>Despesa Anel:</t>
  </si>
  <si>
    <t>Lucro colar:</t>
  </si>
  <si>
    <t>Despesa colar:</t>
  </si>
  <si>
    <t>Pulseira lucro:</t>
  </si>
  <si>
    <t>despesa pulseira: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</si>
</sst>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44" fontId="3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16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74E9-F80E-41FC-B694-A31409D13EDF}">
  <dimension ref="A1:K56"/>
  <sheetViews>
    <sheetView tabSelected="1" topLeftCell="B19" workbookViewId="0">
      <selection activeCell="K22" sqref="K22"/>
    </sheetView>
  </sheetViews>
  <sheetFormatPr defaultRowHeight="14.4" x14ac:dyDescent="0.3"/>
  <cols>
    <col min="1" max="1" width="14.6640625" customWidth="1"/>
    <col min="2" max="2" width="52.109375" customWidth="1"/>
    <col min="3" max="3" width="20" customWidth="1"/>
    <col min="6" max="6" width="11.44140625" customWidth="1"/>
    <col min="7" max="7" width="14.44140625" customWidth="1"/>
    <col min="8" max="8" width="16.21875" customWidth="1"/>
    <col min="9" max="9" width="21.77734375" customWidth="1"/>
    <col min="10" max="10" width="17" customWidth="1"/>
    <col min="11" max="11" width="17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</v>
      </c>
      <c r="I1" s="7" t="s">
        <v>117</v>
      </c>
    </row>
    <row r="2" spans="1:11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3">
        <v>10.75</v>
      </c>
      <c r="G2" s="3">
        <f>F2*E2</f>
        <v>10.75</v>
      </c>
      <c r="H2" s="3">
        <v>20</v>
      </c>
      <c r="I2" s="5">
        <v>46014</v>
      </c>
    </row>
    <row r="3" spans="1:11" x14ac:dyDescent="0.3">
      <c r="A3" s="2" t="s">
        <v>11</v>
      </c>
      <c r="B3" s="2" t="s">
        <v>12</v>
      </c>
      <c r="C3" s="2" t="s">
        <v>9</v>
      </c>
      <c r="D3" s="2" t="s">
        <v>10</v>
      </c>
      <c r="E3" s="2">
        <v>1</v>
      </c>
      <c r="F3" s="3">
        <v>7.48</v>
      </c>
      <c r="G3" s="3">
        <f t="shared" ref="G3:G56" si="0">F3*E3</f>
        <v>7.48</v>
      </c>
      <c r="H3" s="3">
        <v>15</v>
      </c>
      <c r="I3" s="5">
        <v>46011</v>
      </c>
    </row>
    <row r="4" spans="1:11" x14ac:dyDescent="0.3">
      <c r="A4" s="2" t="s">
        <v>13</v>
      </c>
      <c r="B4" s="2" t="s">
        <v>14</v>
      </c>
      <c r="C4" s="2" t="s">
        <v>9</v>
      </c>
      <c r="D4" s="2" t="s">
        <v>10</v>
      </c>
      <c r="E4" s="2">
        <v>1</v>
      </c>
      <c r="F4" s="3">
        <v>9.98</v>
      </c>
      <c r="G4" s="3">
        <f t="shared" si="0"/>
        <v>9.98</v>
      </c>
      <c r="H4" s="3">
        <v>20</v>
      </c>
      <c r="I4" s="5">
        <v>46014</v>
      </c>
    </row>
    <row r="5" spans="1:11" x14ac:dyDescent="0.3">
      <c r="A5" s="2" t="s">
        <v>15</v>
      </c>
      <c r="B5" s="2" t="s">
        <v>16</v>
      </c>
      <c r="C5" s="2" t="s">
        <v>9</v>
      </c>
      <c r="D5" s="2" t="s">
        <v>10</v>
      </c>
      <c r="E5" s="2">
        <v>1</v>
      </c>
      <c r="F5" s="3">
        <v>13.98</v>
      </c>
      <c r="G5" s="3">
        <f t="shared" si="0"/>
        <v>13.98</v>
      </c>
      <c r="H5" s="3">
        <v>17</v>
      </c>
      <c r="I5" s="6" t="s">
        <v>118</v>
      </c>
    </row>
    <row r="6" spans="1:11" x14ac:dyDescent="0.3">
      <c r="A6" s="2" t="s">
        <v>17</v>
      </c>
      <c r="B6" s="2" t="s">
        <v>18</v>
      </c>
      <c r="C6" s="2" t="s">
        <v>9</v>
      </c>
      <c r="D6" s="2" t="s">
        <v>10</v>
      </c>
      <c r="E6" s="2">
        <v>1</v>
      </c>
      <c r="F6" s="3">
        <v>9.98</v>
      </c>
      <c r="G6" s="3">
        <f t="shared" si="0"/>
        <v>9.98</v>
      </c>
      <c r="H6" s="3">
        <v>16</v>
      </c>
      <c r="I6" s="5">
        <v>46014</v>
      </c>
    </row>
    <row r="7" spans="1:11" x14ac:dyDescent="0.3">
      <c r="A7" s="2" t="s">
        <v>19</v>
      </c>
      <c r="B7" s="2" t="s">
        <v>20</v>
      </c>
      <c r="C7" s="2" t="s">
        <v>9</v>
      </c>
      <c r="D7" s="2" t="s">
        <v>10</v>
      </c>
      <c r="E7" s="2">
        <v>1</v>
      </c>
      <c r="F7" s="3">
        <v>10.98</v>
      </c>
      <c r="G7" s="3">
        <f t="shared" si="0"/>
        <v>10.98</v>
      </c>
      <c r="H7" s="3">
        <v>15</v>
      </c>
      <c r="I7" s="5">
        <v>46014</v>
      </c>
    </row>
    <row r="8" spans="1:11" x14ac:dyDescent="0.3">
      <c r="A8" s="2" t="s">
        <v>21</v>
      </c>
      <c r="B8" s="2" t="s">
        <v>22</v>
      </c>
      <c r="C8" s="2" t="s">
        <v>9</v>
      </c>
      <c r="D8" s="2" t="s">
        <v>10</v>
      </c>
      <c r="E8" s="2">
        <v>1</v>
      </c>
      <c r="F8" s="3">
        <v>8.48</v>
      </c>
      <c r="G8" s="3">
        <f t="shared" si="0"/>
        <v>8.48</v>
      </c>
      <c r="H8" s="3">
        <v>16</v>
      </c>
      <c r="I8" s="5">
        <v>46030</v>
      </c>
    </row>
    <row r="9" spans="1:11" x14ac:dyDescent="0.3">
      <c r="A9" s="2" t="s">
        <v>23</v>
      </c>
      <c r="B9" s="2" t="s">
        <v>24</v>
      </c>
      <c r="C9" s="2" t="s">
        <v>9</v>
      </c>
      <c r="D9" s="2" t="s">
        <v>10</v>
      </c>
      <c r="E9" s="2">
        <v>1</v>
      </c>
      <c r="F9" s="3">
        <v>10.98</v>
      </c>
      <c r="G9" s="3">
        <f t="shared" si="0"/>
        <v>10.98</v>
      </c>
      <c r="H9" s="3">
        <v>20</v>
      </c>
      <c r="I9" s="5">
        <v>46037</v>
      </c>
    </row>
    <row r="10" spans="1:11" x14ac:dyDescent="0.3">
      <c r="A10" s="2" t="s">
        <v>25</v>
      </c>
      <c r="B10" s="2" t="s">
        <v>22</v>
      </c>
      <c r="C10" s="2" t="s">
        <v>9</v>
      </c>
      <c r="D10" s="2" t="s">
        <v>10</v>
      </c>
      <c r="E10" s="2">
        <v>1</v>
      </c>
      <c r="F10" s="3">
        <v>9.48</v>
      </c>
      <c r="G10" s="3">
        <f t="shared" si="0"/>
        <v>9.48</v>
      </c>
      <c r="H10" s="3">
        <v>14</v>
      </c>
      <c r="I10" s="5">
        <v>46041</v>
      </c>
    </row>
    <row r="11" spans="1:11" x14ac:dyDescent="0.3">
      <c r="A11" s="2" t="s">
        <v>26</v>
      </c>
      <c r="B11" s="2" t="s">
        <v>27</v>
      </c>
      <c r="C11" s="2" t="s">
        <v>9</v>
      </c>
      <c r="D11" s="2" t="s">
        <v>10</v>
      </c>
      <c r="E11" s="2">
        <v>1</v>
      </c>
      <c r="F11" s="3">
        <v>7.75</v>
      </c>
      <c r="G11" s="3">
        <f t="shared" si="0"/>
        <v>7.75</v>
      </c>
      <c r="H11" s="3">
        <v>15</v>
      </c>
      <c r="I11" s="5">
        <v>46042</v>
      </c>
      <c r="J11" t="s">
        <v>119</v>
      </c>
      <c r="K11" t="s">
        <v>120</v>
      </c>
    </row>
    <row r="12" spans="1:11" x14ac:dyDescent="0.3">
      <c r="A12" s="2" t="s">
        <v>28</v>
      </c>
      <c r="B12" s="2" t="s">
        <v>29</v>
      </c>
      <c r="C12" s="2" t="s">
        <v>9</v>
      </c>
      <c r="D12" s="2" t="s">
        <v>10</v>
      </c>
      <c r="E12" s="2">
        <v>1</v>
      </c>
      <c r="F12" s="3">
        <v>9.98</v>
      </c>
      <c r="G12" s="3">
        <f t="shared" si="0"/>
        <v>9.98</v>
      </c>
      <c r="H12" s="3">
        <v>18</v>
      </c>
      <c r="I12" s="6" t="s">
        <v>118</v>
      </c>
      <c r="J12" s="8">
        <f>SUM(H16:H20,H28,H30,H32)</f>
        <v>126</v>
      </c>
      <c r="K12" s="8">
        <f>SUM(G13:G20,G25:G33)</f>
        <v>172.42999999999998</v>
      </c>
    </row>
    <row r="13" spans="1:11" x14ac:dyDescent="0.3">
      <c r="A13" s="2" t="s">
        <v>30</v>
      </c>
      <c r="B13" s="2" t="s">
        <v>31</v>
      </c>
      <c r="C13" s="2" t="s">
        <v>32</v>
      </c>
      <c r="D13" s="2" t="s">
        <v>10</v>
      </c>
      <c r="E13" s="2">
        <v>1</v>
      </c>
      <c r="F13" s="3">
        <v>12.98</v>
      </c>
      <c r="G13" s="3">
        <f t="shared" si="0"/>
        <v>12.98</v>
      </c>
      <c r="H13" s="3">
        <v>18</v>
      </c>
      <c r="I13" s="6" t="s">
        <v>118</v>
      </c>
    </row>
    <row r="14" spans="1:11" x14ac:dyDescent="0.3">
      <c r="A14" s="2" t="s">
        <v>33</v>
      </c>
      <c r="B14" s="2" t="s">
        <v>34</v>
      </c>
      <c r="C14" s="2" t="s">
        <v>32</v>
      </c>
      <c r="D14" s="2" t="s">
        <v>10</v>
      </c>
      <c r="E14" s="2">
        <v>1</v>
      </c>
      <c r="F14" s="3">
        <v>10.75</v>
      </c>
      <c r="G14" s="3">
        <f t="shared" si="0"/>
        <v>10.75</v>
      </c>
      <c r="H14" s="3">
        <v>16</v>
      </c>
      <c r="I14" s="6" t="s">
        <v>118</v>
      </c>
      <c r="J14" t="s">
        <v>121</v>
      </c>
      <c r="K14" t="s">
        <v>122</v>
      </c>
    </row>
    <row r="15" spans="1:11" x14ac:dyDescent="0.3">
      <c r="A15" s="2" t="s">
        <v>35</v>
      </c>
      <c r="B15" s="2" t="s">
        <v>36</v>
      </c>
      <c r="C15" s="2" t="s">
        <v>32</v>
      </c>
      <c r="D15" s="2" t="s">
        <v>10</v>
      </c>
      <c r="E15" s="2">
        <v>1</v>
      </c>
      <c r="F15" s="3">
        <v>9.98</v>
      </c>
      <c r="G15" s="3">
        <f t="shared" si="0"/>
        <v>9.98</v>
      </c>
      <c r="H15" s="3">
        <v>16</v>
      </c>
      <c r="I15" s="6"/>
      <c r="J15" s="8">
        <f>SUM(H2,H3,H4,H6,H7,H8,H9,H10,H11,H22)</f>
        <v>166</v>
      </c>
      <c r="K15" s="8">
        <f>SUM(G2:G12,G22:G24)</f>
        <v>136.30000000000001</v>
      </c>
    </row>
    <row r="16" spans="1:11" x14ac:dyDescent="0.3">
      <c r="A16" s="2" t="s">
        <v>37</v>
      </c>
      <c r="B16" s="2" t="s">
        <v>38</v>
      </c>
      <c r="C16" s="2" t="s">
        <v>32</v>
      </c>
      <c r="D16" s="2" t="s">
        <v>10</v>
      </c>
      <c r="E16" s="2">
        <v>1</v>
      </c>
      <c r="F16" s="3">
        <v>12.98</v>
      </c>
      <c r="G16" s="3">
        <f t="shared" si="0"/>
        <v>12.98</v>
      </c>
      <c r="H16" s="3">
        <v>20</v>
      </c>
      <c r="I16" s="5">
        <v>46014</v>
      </c>
    </row>
    <row r="17" spans="1:11" x14ac:dyDescent="0.3">
      <c r="A17" s="2" t="s">
        <v>39</v>
      </c>
      <c r="B17" s="2" t="s">
        <v>40</v>
      </c>
      <c r="C17" s="2" t="s">
        <v>32</v>
      </c>
      <c r="D17" s="2" t="s">
        <v>10</v>
      </c>
      <c r="E17" s="2">
        <v>1</v>
      </c>
      <c r="F17" s="3">
        <v>11.48</v>
      </c>
      <c r="G17" s="3">
        <f t="shared" si="0"/>
        <v>11.48</v>
      </c>
      <c r="H17" s="3">
        <v>18</v>
      </c>
      <c r="I17" s="5">
        <v>46027</v>
      </c>
      <c r="J17" t="s">
        <v>123</v>
      </c>
      <c r="K17" t="s">
        <v>124</v>
      </c>
    </row>
    <row r="18" spans="1:11" x14ac:dyDescent="0.3">
      <c r="A18" s="2" t="s">
        <v>41</v>
      </c>
      <c r="B18" s="2" t="s">
        <v>42</v>
      </c>
      <c r="C18" s="2" t="s">
        <v>32</v>
      </c>
      <c r="D18" s="2" t="s">
        <v>10</v>
      </c>
      <c r="E18" s="2">
        <v>1</v>
      </c>
      <c r="F18" s="3">
        <v>11.98</v>
      </c>
      <c r="G18" s="3">
        <f t="shared" si="0"/>
        <v>11.98</v>
      </c>
      <c r="H18" s="3">
        <v>15</v>
      </c>
      <c r="I18" s="5">
        <v>46026</v>
      </c>
      <c r="J18" s="3">
        <v>17</v>
      </c>
      <c r="K18" s="8">
        <f>SUM(G47:G56,G38,G34)</f>
        <v>120.26000000000003</v>
      </c>
    </row>
    <row r="19" spans="1:11" x14ac:dyDescent="0.3">
      <c r="A19" s="2" t="s">
        <v>43</v>
      </c>
      <c r="B19" s="2" t="s">
        <v>44</v>
      </c>
      <c r="C19" s="2" t="s">
        <v>32</v>
      </c>
      <c r="D19" s="2" t="s">
        <v>10</v>
      </c>
      <c r="E19" s="2">
        <v>1</v>
      </c>
      <c r="F19" s="3">
        <v>13.98</v>
      </c>
      <c r="G19" s="3">
        <f t="shared" si="0"/>
        <v>13.98</v>
      </c>
      <c r="H19" s="3">
        <v>15</v>
      </c>
      <c r="I19" s="5">
        <v>46027</v>
      </c>
      <c r="J19" s="3"/>
    </row>
    <row r="20" spans="1:11" x14ac:dyDescent="0.3">
      <c r="A20" s="2" t="s">
        <v>45</v>
      </c>
      <c r="B20" s="2" t="s">
        <v>40</v>
      </c>
      <c r="C20" s="2" t="s">
        <v>32</v>
      </c>
      <c r="D20" s="2" t="s">
        <v>10</v>
      </c>
      <c r="E20" s="2">
        <v>1</v>
      </c>
      <c r="F20" s="3">
        <v>10.48</v>
      </c>
      <c r="G20" s="3">
        <f t="shared" si="0"/>
        <v>10.48</v>
      </c>
      <c r="H20" s="3">
        <v>15</v>
      </c>
      <c r="I20" s="5">
        <v>46027</v>
      </c>
      <c r="J20" t="s">
        <v>125</v>
      </c>
      <c r="K20" t="s">
        <v>126</v>
      </c>
    </row>
    <row r="21" spans="1:11" x14ac:dyDescent="0.3">
      <c r="A21" s="2" t="s">
        <v>46</v>
      </c>
      <c r="B21" s="2" t="s">
        <v>47</v>
      </c>
      <c r="C21" s="2" t="s">
        <v>48</v>
      </c>
      <c r="D21" s="2" t="s">
        <v>10</v>
      </c>
      <c r="E21" s="2">
        <v>1</v>
      </c>
      <c r="F21" s="3">
        <v>9.98</v>
      </c>
      <c r="G21" s="3">
        <f t="shared" si="0"/>
        <v>9.98</v>
      </c>
      <c r="H21" s="3">
        <v>20</v>
      </c>
      <c r="I21" s="5">
        <v>46006</v>
      </c>
      <c r="J21" s="3">
        <f>SUM(H21,H36:H37)</f>
        <v>54</v>
      </c>
      <c r="K21" s="8">
        <f>SUM(G21,G35:G37,G39:G46)</f>
        <v>106.53000000000003</v>
      </c>
    </row>
    <row r="22" spans="1:11" x14ac:dyDescent="0.3">
      <c r="A22" s="2" t="s">
        <v>49</v>
      </c>
      <c r="B22" s="2" t="s">
        <v>50</v>
      </c>
      <c r="C22" s="2" t="s">
        <v>9</v>
      </c>
      <c r="D22" s="2" t="s">
        <v>10</v>
      </c>
      <c r="E22" s="2">
        <v>1</v>
      </c>
      <c r="F22" s="3">
        <v>7.75</v>
      </c>
      <c r="G22" s="3">
        <f t="shared" si="0"/>
        <v>7.75</v>
      </c>
      <c r="H22" s="3">
        <v>15</v>
      </c>
      <c r="I22" s="5">
        <v>46006</v>
      </c>
    </row>
    <row r="23" spans="1:11" x14ac:dyDescent="0.3">
      <c r="A23" s="2" t="s">
        <v>26</v>
      </c>
      <c r="B23" s="2" t="s">
        <v>27</v>
      </c>
      <c r="C23" s="2" t="s">
        <v>9</v>
      </c>
      <c r="D23" s="2" t="s">
        <v>10</v>
      </c>
      <c r="E23" s="2">
        <v>1</v>
      </c>
      <c r="F23" s="4">
        <v>7.75</v>
      </c>
      <c r="G23" s="3">
        <f t="shared" si="0"/>
        <v>7.75</v>
      </c>
      <c r="H23" s="3">
        <v>15</v>
      </c>
      <c r="I23" s="6"/>
    </row>
    <row r="24" spans="1:11" x14ac:dyDescent="0.3">
      <c r="A24" s="2" t="s">
        <v>51</v>
      </c>
      <c r="B24" s="2" t="s">
        <v>52</v>
      </c>
      <c r="C24" s="2" t="s">
        <v>9</v>
      </c>
      <c r="D24" s="2" t="s">
        <v>10</v>
      </c>
      <c r="E24" s="2">
        <v>1</v>
      </c>
      <c r="F24" s="4">
        <v>10.98</v>
      </c>
      <c r="G24" s="3">
        <f t="shared" si="0"/>
        <v>10.98</v>
      </c>
      <c r="H24" s="3">
        <v>18</v>
      </c>
      <c r="I24" s="6"/>
    </row>
    <row r="25" spans="1:11" x14ac:dyDescent="0.3">
      <c r="A25" s="2" t="s">
        <v>53</v>
      </c>
      <c r="B25" s="2" t="s">
        <v>54</v>
      </c>
      <c r="C25" s="2" t="s">
        <v>32</v>
      </c>
      <c r="D25" s="2" t="s">
        <v>10</v>
      </c>
      <c r="E25" s="2">
        <v>1</v>
      </c>
      <c r="F25" s="4">
        <v>10.98</v>
      </c>
      <c r="G25" s="3">
        <f t="shared" si="0"/>
        <v>10.98</v>
      </c>
      <c r="H25" s="3">
        <v>18</v>
      </c>
      <c r="I25" s="6"/>
    </row>
    <row r="26" spans="1:11" x14ac:dyDescent="0.3">
      <c r="A26" s="2" t="s">
        <v>55</v>
      </c>
      <c r="B26" s="2" t="s">
        <v>44</v>
      </c>
      <c r="C26" s="2" t="s">
        <v>32</v>
      </c>
      <c r="D26" s="2" t="s">
        <v>10</v>
      </c>
      <c r="E26" s="2">
        <v>1</v>
      </c>
      <c r="F26" s="4">
        <v>10.98</v>
      </c>
      <c r="G26" s="3">
        <f t="shared" si="0"/>
        <v>10.98</v>
      </c>
      <c r="H26" s="3">
        <v>18</v>
      </c>
      <c r="I26" s="6"/>
    </row>
    <row r="27" spans="1:11" x14ac:dyDescent="0.3">
      <c r="A27" s="2" t="s">
        <v>56</v>
      </c>
      <c r="B27" s="2" t="s">
        <v>57</v>
      </c>
      <c r="C27" s="2" t="s">
        <v>32</v>
      </c>
      <c r="D27" s="2" t="s">
        <v>10</v>
      </c>
      <c r="E27" s="2">
        <v>1</v>
      </c>
      <c r="F27" s="4">
        <v>6.98</v>
      </c>
      <c r="G27" s="3">
        <f t="shared" si="0"/>
        <v>6.98</v>
      </c>
      <c r="H27" s="3">
        <v>14</v>
      </c>
      <c r="I27" s="6"/>
    </row>
    <row r="28" spans="1:11" x14ac:dyDescent="0.3">
      <c r="A28" s="2" t="s">
        <v>58</v>
      </c>
      <c r="B28" s="2" t="s">
        <v>59</v>
      </c>
      <c r="C28" s="2" t="s">
        <v>32</v>
      </c>
      <c r="D28" s="2" t="s">
        <v>10</v>
      </c>
      <c r="E28" s="2">
        <v>1</v>
      </c>
      <c r="F28" s="4">
        <v>6.98</v>
      </c>
      <c r="G28" s="3">
        <f t="shared" si="0"/>
        <v>6.98</v>
      </c>
      <c r="H28" s="3">
        <v>14</v>
      </c>
      <c r="I28" s="5">
        <v>46011</v>
      </c>
    </row>
    <row r="29" spans="1:11" x14ac:dyDescent="0.3">
      <c r="A29" s="2" t="s">
        <v>60</v>
      </c>
      <c r="B29" s="2" t="s">
        <v>61</v>
      </c>
      <c r="C29" s="2" t="s">
        <v>32</v>
      </c>
      <c r="D29" s="2" t="s">
        <v>10</v>
      </c>
      <c r="E29" s="2">
        <v>1</v>
      </c>
      <c r="F29" s="4">
        <v>4.9800000000000004</v>
      </c>
      <c r="G29" s="3">
        <f t="shared" si="0"/>
        <v>4.9800000000000004</v>
      </c>
      <c r="H29" s="3">
        <v>14</v>
      </c>
      <c r="I29" s="6"/>
    </row>
    <row r="30" spans="1:11" x14ac:dyDescent="0.3">
      <c r="A30" s="2" t="s">
        <v>62</v>
      </c>
      <c r="B30" s="2" t="s">
        <v>63</v>
      </c>
      <c r="C30" s="2" t="s">
        <v>32</v>
      </c>
      <c r="D30" s="2" t="s">
        <v>10</v>
      </c>
      <c r="E30" s="2">
        <v>1</v>
      </c>
      <c r="F30" s="4">
        <v>4.9800000000000004</v>
      </c>
      <c r="G30" s="3">
        <f t="shared" si="0"/>
        <v>4.9800000000000004</v>
      </c>
      <c r="H30" s="3">
        <v>14</v>
      </c>
      <c r="I30" s="5">
        <v>46011</v>
      </c>
    </row>
    <row r="31" spans="1:11" x14ac:dyDescent="0.3">
      <c r="A31" s="2" t="s">
        <v>64</v>
      </c>
      <c r="B31" s="2" t="s">
        <v>31</v>
      </c>
      <c r="C31" s="2" t="s">
        <v>32</v>
      </c>
      <c r="D31" s="2" t="s">
        <v>10</v>
      </c>
      <c r="E31" s="2">
        <v>1</v>
      </c>
      <c r="F31" s="4">
        <v>16.98</v>
      </c>
      <c r="G31" s="3">
        <f t="shared" si="0"/>
        <v>16.98</v>
      </c>
      <c r="H31" s="3">
        <v>26</v>
      </c>
      <c r="I31" s="6"/>
    </row>
    <row r="32" spans="1:11" x14ac:dyDescent="0.3">
      <c r="A32" s="2" t="s">
        <v>65</v>
      </c>
      <c r="B32" s="2" t="s">
        <v>66</v>
      </c>
      <c r="C32" s="2" t="s">
        <v>32</v>
      </c>
      <c r="D32" s="2" t="s">
        <v>10</v>
      </c>
      <c r="E32" s="2">
        <v>1</v>
      </c>
      <c r="F32" s="4">
        <v>5.48</v>
      </c>
      <c r="G32" s="3">
        <f t="shared" si="0"/>
        <v>5.48</v>
      </c>
      <c r="H32" s="3">
        <v>15</v>
      </c>
      <c r="I32" s="5">
        <v>46011</v>
      </c>
    </row>
    <row r="33" spans="1:9" x14ac:dyDescent="0.3">
      <c r="A33" s="2" t="s">
        <v>67</v>
      </c>
      <c r="B33" s="2" t="s">
        <v>68</v>
      </c>
      <c r="C33" s="2" t="s">
        <v>32</v>
      </c>
      <c r="D33" s="2" t="s">
        <v>10</v>
      </c>
      <c r="E33" s="2">
        <v>1</v>
      </c>
      <c r="F33" s="4">
        <v>9.48</v>
      </c>
      <c r="G33" s="3">
        <f t="shared" si="0"/>
        <v>9.48</v>
      </c>
      <c r="H33" s="3">
        <v>18</v>
      </c>
      <c r="I33" s="6"/>
    </row>
    <row r="34" spans="1:9" x14ac:dyDescent="0.3">
      <c r="A34" s="2" t="s">
        <v>69</v>
      </c>
      <c r="B34" s="2" t="s">
        <v>70</v>
      </c>
      <c r="C34" s="2" t="s">
        <v>71</v>
      </c>
      <c r="D34" s="2" t="s">
        <v>10</v>
      </c>
      <c r="E34" s="2">
        <v>1</v>
      </c>
      <c r="F34" s="4">
        <v>17.98</v>
      </c>
      <c r="G34" s="3">
        <f t="shared" si="0"/>
        <v>17.98</v>
      </c>
      <c r="H34" s="3">
        <v>28</v>
      </c>
      <c r="I34" s="6"/>
    </row>
    <row r="35" spans="1:9" x14ac:dyDescent="0.3">
      <c r="A35" s="2" t="s">
        <v>72</v>
      </c>
      <c r="B35" s="2" t="s">
        <v>73</v>
      </c>
      <c r="C35" s="2" t="s">
        <v>48</v>
      </c>
      <c r="D35" s="2" t="s">
        <v>10</v>
      </c>
      <c r="E35" s="2">
        <v>1</v>
      </c>
      <c r="F35" s="4">
        <v>17.98</v>
      </c>
      <c r="G35" s="3">
        <f t="shared" si="0"/>
        <v>17.98</v>
      </c>
      <c r="H35" s="3">
        <v>28</v>
      </c>
      <c r="I35" s="6"/>
    </row>
    <row r="36" spans="1:9" x14ac:dyDescent="0.3">
      <c r="A36" s="2" t="s">
        <v>74</v>
      </c>
      <c r="B36" s="2" t="s">
        <v>75</v>
      </c>
      <c r="C36" s="2" t="s">
        <v>48</v>
      </c>
      <c r="D36" s="2" t="s">
        <v>10</v>
      </c>
      <c r="E36" s="2">
        <v>1</v>
      </c>
      <c r="F36" s="4">
        <v>9.98</v>
      </c>
      <c r="G36" s="3">
        <f t="shared" si="0"/>
        <v>9.98</v>
      </c>
      <c r="H36" s="3">
        <v>17</v>
      </c>
      <c r="I36" s="5">
        <v>46024</v>
      </c>
    </row>
    <row r="37" spans="1:9" x14ac:dyDescent="0.3">
      <c r="A37" s="2" t="s">
        <v>76</v>
      </c>
      <c r="B37" s="2" t="s">
        <v>77</v>
      </c>
      <c r="C37" s="2" t="s">
        <v>48</v>
      </c>
      <c r="D37" s="2" t="s">
        <v>10</v>
      </c>
      <c r="E37" s="2">
        <v>1</v>
      </c>
      <c r="F37" s="4">
        <v>9.98</v>
      </c>
      <c r="G37" s="3">
        <f t="shared" si="0"/>
        <v>9.98</v>
      </c>
      <c r="H37" s="3">
        <v>17</v>
      </c>
      <c r="I37" s="5">
        <v>46025</v>
      </c>
    </row>
    <row r="38" spans="1:9" x14ac:dyDescent="0.3">
      <c r="A38" s="2" t="s">
        <v>78</v>
      </c>
      <c r="B38" s="2" t="s">
        <v>79</v>
      </c>
      <c r="C38" s="2" t="s">
        <v>71</v>
      </c>
      <c r="D38" s="2" t="s">
        <v>10</v>
      </c>
      <c r="E38" s="2">
        <v>1</v>
      </c>
      <c r="F38" s="4">
        <v>9.98</v>
      </c>
      <c r="G38" s="3">
        <f t="shared" si="0"/>
        <v>9.98</v>
      </c>
      <c r="H38" s="3">
        <v>17</v>
      </c>
      <c r="I38" s="5">
        <v>46027</v>
      </c>
    </row>
    <row r="39" spans="1:9" x14ac:dyDescent="0.3">
      <c r="A39" s="2" t="s">
        <v>80</v>
      </c>
      <c r="B39" s="2" t="s">
        <v>81</v>
      </c>
      <c r="C39" s="2" t="s">
        <v>48</v>
      </c>
      <c r="D39" s="2" t="s">
        <v>10</v>
      </c>
      <c r="E39" s="2">
        <v>1</v>
      </c>
      <c r="F39" s="4">
        <v>5.75</v>
      </c>
      <c r="G39" s="3">
        <f t="shared" si="0"/>
        <v>5.75</v>
      </c>
      <c r="H39" s="3">
        <v>15</v>
      </c>
      <c r="I39" s="6"/>
    </row>
    <row r="40" spans="1:9" x14ac:dyDescent="0.3">
      <c r="A40" s="2" t="s">
        <v>82</v>
      </c>
      <c r="B40" s="2" t="s">
        <v>83</v>
      </c>
      <c r="C40" s="2" t="s">
        <v>48</v>
      </c>
      <c r="D40" s="2" t="s">
        <v>10</v>
      </c>
      <c r="E40" s="2">
        <v>1</v>
      </c>
      <c r="F40" s="4">
        <v>5.98</v>
      </c>
      <c r="G40" s="3">
        <f t="shared" si="0"/>
        <v>5.98</v>
      </c>
      <c r="H40" s="3">
        <v>14</v>
      </c>
      <c r="I40" s="6" t="s">
        <v>118</v>
      </c>
    </row>
    <row r="41" spans="1:9" x14ac:dyDescent="0.3">
      <c r="A41" s="2" t="s">
        <v>84</v>
      </c>
      <c r="B41" s="2" t="s">
        <v>85</v>
      </c>
      <c r="C41" s="2" t="s">
        <v>48</v>
      </c>
      <c r="D41" s="2" t="s">
        <v>10</v>
      </c>
      <c r="E41" s="2">
        <v>1</v>
      </c>
      <c r="F41" s="4">
        <v>5.98</v>
      </c>
      <c r="G41" s="3">
        <f t="shared" si="0"/>
        <v>5.98</v>
      </c>
      <c r="H41" s="3">
        <v>14</v>
      </c>
      <c r="I41" s="6" t="s">
        <v>118</v>
      </c>
    </row>
    <row r="42" spans="1:9" x14ac:dyDescent="0.3">
      <c r="A42" s="2" t="s">
        <v>86</v>
      </c>
      <c r="B42" s="2" t="s">
        <v>87</v>
      </c>
      <c r="C42" s="2" t="s">
        <v>48</v>
      </c>
      <c r="D42" s="2" t="s">
        <v>10</v>
      </c>
      <c r="E42" s="2">
        <v>1</v>
      </c>
      <c r="F42" s="4">
        <v>7.48</v>
      </c>
      <c r="G42" s="3">
        <f t="shared" si="0"/>
        <v>7.48</v>
      </c>
      <c r="H42" s="3">
        <v>17</v>
      </c>
      <c r="I42" s="6" t="s">
        <v>118</v>
      </c>
    </row>
    <row r="43" spans="1:9" x14ac:dyDescent="0.3">
      <c r="A43" s="2" t="s">
        <v>88</v>
      </c>
      <c r="B43" s="2" t="s">
        <v>89</v>
      </c>
      <c r="C43" s="2" t="s">
        <v>48</v>
      </c>
      <c r="D43" s="2" t="s">
        <v>10</v>
      </c>
      <c r="E43" s="2">
        <v>1</v>
      </c>
      <c r="F43" s="4">
        <v>7.48</v>
      </c>
      <c r="G43" s="3">
        <f t="shared" si="0"/>
        <v>7.48</v>
      </c>
      <c r="H43" s="3">
        <v>17</v>
      </c>
      <c r="I43" s="6"/>
    </row>
    <row r="44" spans="1:9" x14ac:dyDescent="0.3">
      <c r="A44" s="2" t="s">
        <v>90</v>
      </c>
      <c r="B44" s="2" t="s">
        <v>91</v>
      </c>
      <c r="C44" s="2" t="s">
        <v>48</v>
      </c>
      <c r="D44" s="2" t="s">
        <v>10</v>
      </c>
      <c r="E44" s="2">
        <v>1</v>
      </c>
      <c r="F44" s="4">
        <v>5.98</v>
      </c>
      <c r="G44" s="3">
        <f t="shared" si="0"/>
        <v>5.98</v>
      </c>
      <c r="H44" s="3">
        <v>14</v>
      </c>
      <c r="I44" s="6"/>
    </row>
    <row r="45" spans="1:9" x14ac:dyDescent="0.3">
      <c r="A45" s="2" t="s">
        <v>92</v>
      </c>
      <c r="B45" s="2" t="s">
        <v>93</v>
      </c>
      <c r="C45" s="2" t="s">
        <v>48</v>
      </c>
      <c r="D45" s="2" t="s">
        <v>10</v>
      </c>
      <c r="E45" s="2">
        <v>1</v>
      </c>
      <c r="F45" s="4">
        <v>5.98</v>
      </c>
      <c r="G45" s="3">
        <f t="shared" si="0"/>
        <v>5.98</v>
      </c>
      <c r="H45" s="3">
        <v>14</v>
      </c>
      <c r="I45" s="6"/>
    </row>
    <row r="46" spans="1:9" x14ac:dyDescent="0.3">
      <c r="A46" s="2" t="s">
        <v>94</v>
      </c>
      <c r="B46" s="2" t="s">
        <v>95</v>
      </c>
      <c r="C46" s="2" t="s">
        <v>48</v>
      </c>
      <c r="D46" s="2" t="s">
        <v>10</v>
      </c>
      <c r="E46" s="2">
        <v>1</v>
      </c>
      <c r="F46" s="4">
        <v>13.98</v>
      </c>
      <c r="G46" s="3">
        <f t="shared" si="0"/>
        <v>13.98</v>
      </c>
      <c r="H46" s="3">
        <v>18</v>
      </c>
      <c r="I46" s="6"/>
    </row>
    <row r="47" spans="1:9" x14ac:dyDescent="0.3">
      <c r="A47" s="2" t="s">
        <v>96</v>
      </c>
      <c r="B47" s="2" t="s">
        <v>97</v>
      </c>
      <c r="C47" s="2" t="s">
        <v>71</v>
      </c>
      <c r="D47" s="2" t="s">
        <v>10</v>
      </c>
      <c r="E47" s="2">
        <v>1</v>
      </c>
      <c r="F47" s="4">
        <v>9.98</v>
      </c>
      <c r="G47" s="3">
        <f t="shared" si="0"/>
        <v>9.98</v>
      </c>
      <c r="H47" s="3">
        <v>16</v>
      </c>
      <c r="I47" s="6"/>
    </row>
    <row r="48" spans="1:9" x14ac:dyDescent="0.3">
      <c r="A48" s="2" t="s">
        <v>98</v>
      </c>
      <c r="B48" s="2" t="s">
        <v>99</v>
      </c>
      <c r="C48" s="2" t="s">
        <v>71</v>
      </c>
      <c r="D48" s="2" t="s">
        <v>10</v>
      </c>
      <c r="E48" s="2">
        <v>1</v>
      </c>
      <c r="F48" s="4">
        <v>9.48</v>
      </c>
      <c r="G48" s="3">
        <f t="shared" si="0"/>
        <v>9.48</v>
      </c>
      <c r="H48" s="3">
        <v>16</v>
      </c>
      <c r="I48" s="6" t="s">
        <v>118</v>
      </c>
    </row>
    <row r="49" spans="1:9" x14ac:dyDescent="0.3">
      <c r="A49" s="2" t="s">
        <v>100</v>
      </c>
      <c r="B49" s="2" t="s">
        <v>101</v>
      </c>
      <c r="C49" s="2" t="s">
        <v>71</v>
      </c>
      <c r="D49" s="2" t="s">
        <v>10</v>
      </c>
      <c r="E49" s="2">
        <v>1</v>
      </c>
      <c r="F49" s="4">
        <v>15.98</v>
      </c>
      <c r="G49" s="3">
        <f t="shared" si="0"/>
        <v>15.98</v>
      </c>
      <c r="H49" s="3">
        <v>22</v>
      </c>
      <c r="I49" s="6" t="s">
        <v>118</v>
      </c>
    </row>
    <row r="50" spans="1:9" x14ac:dyDescent="0.3">
      <c r="A50" s="2" t="s">
        <v>102</v>
      </c>
      <c r="B50" s="2" t="s">
        <v>103</v>
      </c>
      <c r="C50" s="2" t="s">
        <v>71</v>
      </c>
      <c r="D50" s="2" t="s">
        <v>10</v>
      </c>
      <c r="E50" s="2">
        <v>1</v>
      </c>
      <c r="F50" s="4">
        <v>6.98</v>
      </c>
      <c r="G50" s="3">
        <f t="shared" si="0"/>
        <v>6.98</v>
      </c>
      <c r="H50" s="3">
        <v>14</v>
      </c>
      <c r="I50" s="6" t="s">
        <v>118</v>
      </c>
    </row>
    <row r="51" spans="1:9" x14ac:dyDescent="0.3">
      <c r="A51" s="2" t="s">
        <v>104</v>
      </c>
      <c r="B51" s="2" t="s">
        <v>105</v>
      </c>
      <c r="C51" s="2" t="s">
        <v>71</v>
      </c>
      <c r="D51" s="2" t="s">
        <v>10</v>
      </c>
      <c r="E51" s="2">
        <v>1</v>
      </c>
      <c r="F51" s="4">
        <v>7.48</v>
      </c>
      <c r="G51" s="3">
        <f t="shared" si="0"/>
        <v>7.48</v>
      </c>
      <c r="H51" s="3">
        <v>15</v>
      </c>
    </row>
    <row r="52" spans="1:9" x14ac:dyDescent="0.3">
      <c r="A52" s="2" t="s">
        <v>106</v>
      </c>
      <c r="B52" s="2" t="s">
        <v>107</v>
      </c>
      <c r="C52" s="2" t="s">
        <v>71</v>
      </c>
      <c r="D52" s="2" t="s">
        <v>10</v>
      </c>
      <c r="E52" s="2">
        <v>1</v>
      </c>
      <c r="F52" s="4">
        <v>7.48</v>
      </c>
      <c r="G52" s="3">
        <f t="shared" si="0"/>
        <v>7.48</v>
      </c>
      <c r="H52" s="3">
        <v>15</v>
      </c>
    </row>
    <row r="53" spans="1:9" x14ac:dyDescent="0.3">
      <c r="A53" s="2" t="s">
        <v>108</v>
      </c>
      <c r="B53" s="2" t="s">
        <v>109</v>
      </c>
      <c r="C53" s="2" t="s">
        <v>71</v>
      </c>
      <c r="D53" s="2" t="s">
        <v>10</v>
      </c>
      <c r="E53" s="2">
        <v>1</v>
      </c>
      <c r="F53" s="4">
        <v>8.98</v>
      </c>
      <c r="G53" s="3">
        <f t="shared" si="0"/>
        <v>8.98</v>
      </c>
      <c r="H53" s="3">
        <v>20</v>
      </c>
    </row>
    <row r="54" spans="1:9" x14ac:dyDescent="0.3">
      <c r="A54" s="2" t="s">
        <v>110</v>
      </c>
      <c r="B54" s="2" t="s">
        <v>111</v>
      </c>
      <c r="C54" s="2" t="s">
        <v>71</v>
      </c>
      <c r="D54" s="2" t="s">
        <v>10</v>
      </c>
      <c r="E54" s="2">
        <v>1</v>
      </c>
      <c r="F54" s="4">
        <v>8.98</v>
      </c>
      <c r="G54" s="3">
        <f t="shared" si="0"/>
        <v>8.98</v>
      </c>
      <c r="H54" s="3">
        <v>20</v>
      </c>
    </row>
    <row r="55" spans="1:9" x14ac:dyDescent="0.3">
      <c r="A55" s="2" t="s">
        <v>112</v>
      </c>
      <c r="B55" s="2" t="s">
        <v>113</v>
      </c>
      <c r="C55" s="2" t="s">
        <v>71</v>
      </c>
      <c r="D55" s="2" t="s">
        <v>10</v>
      </c>
      <c r="E55" s="2">
        <v>1</v>
      </c>
      <c r="F55" s="4">
        <v>7.98</v>
      </c>
      <c r="G55" s="3">
        <f t="shared" si="0"/>
        <v>7.98</v>
      </c>
      <c r="H55" s="3">
        <v>19</v>
      </c>
    </row>
    <row r="56" spans="1:9" x14ac:dyDescent="0.3">
      <c r="A56" s="2" t="s">
        <v>114</v>
      </c>
      <c r="B56" s="2" t="s">
        <v>115</v>
      </c>
      <c r="C56" s="2" t="s">
        <v>71</v>
      </c>
      <c r="D56" s="2" t="s">
        <v>10</v>
      </c>
      <c r="E56" s="2">
        <v>1</v>
      </c>
      <c r="F56" s="4">
        <v>8.98</v>
      </c>
      <c r="G56" s="3">
        <f t="shared" si="0"/>
        <v>8.98</v>
      </c>
      <c r="H56" s="3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Ivina</dc:creator>
  <cp:lastModifiedBy>Ivina</cp:lastModifiedBy>
  <dcterms:created xsi:type="dcterms:W3CDTF">2026-01-12T14:21:15Z</dcterms:created>
  <dcterms:modified xsi:type="dcterms:W3CDTF">2026-01-26T17:14:59Z</dcterms:modified>
</cp:coreProperties>
</file>